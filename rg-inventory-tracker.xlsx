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s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50" customWidth="1" min="9" max="9"/>
  </cols>
  <sheetData>
    <row r="1">
      <c r="A1" s="1" t="inlineStr">
        <is>
          <t>Purchase ID</t>
        </is>
      </c>
      <c r="B1" s="1" t="inlineStr">
        <is>
          <t>Date</t>
        </is>
      </c>
      <c r="C1" s="1" t="inlineStr">
        <is>
          <t>Source</t>
        </is>
      </c>
      <c r="D1" s="1" t="inlineStr">
        <is>
          <t>Total Cost</t>
        </is>
      </c>
      <c r="E1" s="1" t="inlineStr">
        <is>
          <t>Item Count</t>
        </is>
      </c>
      <c r="F1" s="1" t="inlineStr">
        <is>
          <t>Items Sold</t>
        </is>
      </c>
      <c r="G1" s="1" t="inlineStr">
        <is>
          <t>Revenue</t>
        </is>
      </c>
      <c r="H1" s="1" t="inlineStr">
        <is>
          <t>Status</t>
        </is>
      </c>
      <c r="I1" s="1" t="inlineStr">
        <is>
          <t>Notes</t>
        </is>
      </c>
    </row>
    <row r="2">
      <c r="A2" t="inlineStr">
        <is>
          <t>IOWA-0925</t>
        </is>
      </c>
      <c r="B2" t="inlineStr">
        <is>
          <t>2025-09-17</t>
        </is>
      </c>
      <c r="C2" t="inlineStr">
        <is>
          <t>Charles City Auction (Iowa)</t>
        </is>
      </c>
      <c r="D2" t="n">
        <v>771.09</v>
      </c>
      <c r="E2" t="n">
        <v>94</v>
      </c>
      <c r="F2" t="n">
        <v>0</v>
      </c>
      <c r="G2" t="n">
        <v>0</v>
      </c>
      <c r="H2" t="inlineStr">
        <is>
          <t>Processing</t>
        </is>
      </c>
      <c r="I2" t="inlineStr">
        <is>
          <t>Carnival glass, books, china, toys, coins</t>
        </is>
      </c>
    </row>
    <row r="3">
      <c r="A3" t="inlineStr">
        <is>
          <t>PETER-001</t>
        </is>
      </c>
      <c r="B3" t="inlineStr">
        <is>
          <t>2025-11-05</t>
        </is>
      </c>
      <c r="C3" t="inlineStr">
        <is>
          <t>Peter</t>
        </is>
      </c>
      <c r="D3" t="n">
        <v>100</v>
      </c>
      <c r="F3" t="n">
        <v>0</v>
      </c>
      <c r="G3" t="n">
        <v>0</v>
      </c>
      <c r="H3" t="inlineStr">
        <is>
          <t>Unprocessed</t>
        </is>
      </c>
      <c r="I3" t="inlineStr">
        <is>
          <t>Visit 1</t>
        </is>
      </c>
    </row>
    <row r="4">
      <c r="A4" t="inlineStr">
        <is>
          <t>PETER-002</t>
        </is>
      </c>
      <c r="B4" t="inlineStr">
        <is>
          <t>2025-11-19</t>
        </is>
      </c>
      <c r="C4" t="inlineStr">
        <is>
          <t>Peter</t>
        </is>
      </c>
      <c r="D4" t="n">
        <v>200</v>
      </c>
      <c r="F4" t="n">
        <v>0</v>
      </c>
      <c r="G4" t="n">
        <v>0</v>
      </c>
      <c r="H4" t="inlineStr">
        <is>
          <t>Processing</t>
        </is>
      </c>
      <c r="I4" t="inlineStr">
        <is>
          <t>Visit 2 - Autographed frames, music, misc. Disney comic frame identified.</t>
        </is>
      </c>
    </row>
    <row r="5">
      <c r="A5" t="inlineStr">
        <is>
          <t>PETER-003</t>
        </is>
      </c>
      <c r="B5" t="inlineStr">
        <is>
          <t>2025-11-25</t>
        </is>
      </c>
      <c r="C5" t="inlineStr">
        <is>
          <t>Peter</t>
        </is>
      </c>
      <c r="D5" t="n">
        <v>125</v>
      </c>
      <c r="F5" t="n">
        <v>0</v>
      </c>
      <c r="G5" t="n">
        <v>0</v>
      </c>
      <c r="H5" t="inlineStr">
        <is>
          <t>Unprocessed</t>
        </is>
      </c>
      <c r="I5" t="inlineStr">
        <is>
          <t>Visit 3</t>
        </is>
      </c>
    </row>
    <row r="6">
      <c r="A6" t="inlineStr">
        <is>
          <t>FREE-FLEA</t>
        </is>
      </c>
      <c r="B6" t="inlineStr">
        <is>
          <t>2025-11-01</t>
        </is>
      </c>
      <c r="C6" t="inlineStr">
        <is>
          <t>Flea Market</t>
        </is>
      </c>
      <c r="D6" t="n">
        <v>0</v>
      </c>
      <c r="E6" t="n">
        <v>1</v>
      </c>
      <c r="F6" t="n">
        <v>0</v>
      </c>
      <c r="G6" t="n">
        <v>0</v>
      </c>
      <c r="H6" t="inlineStr">
        <is>
          <t>Listed</t>
        </is>
      </c>
      <c r="I6" t="inlineStr">
        <is>
          <t>Bar stool - free pickup</t>
        </is>
      </c>
    </row>
    <row r="7">
      <c r="A7" t="inlineStr">
        <is>
          <t>FREE-JERRY</t>
        </is>
      </c>
      <c r="B7" t="inlineStr">
        <is>
          <t>2025-11-01</t>
        </is>
      </c>
      <c r="C7" t="inlineStr">
        <is>
          <t>Jerry (gift)</t>
        </is>
      </c>
      <c r="D7" t="n">
        <v>0</v>
      </c>
      <c r="E7" t="n">
        <v>1</v>
      </c>
      <c r="F7" t="n">
        <v>0</v>
      </c>
      <c r="G7" t="n">
        <v>0</v>
      </c>
      <c r="H7" t="inlineStr">
        <is>
          <t>Listed</t>
        </is>
      </c>
      <c r="I7" t="inlineStr">
        <is>
          <t>Four Seasons plaque set</t>
        </is>
      </c>
    </row>
    <row r="8">
      <c r="A8" t="inlineStr">
        <is>
          <t>FOUND-STORE</t>
        </is>
      </c>
      <c r="C8" t="inlineStr">
        <is>
          <t>Found at store</t>
        </is>
      </c>
      <c r="D8" t="n">
        <v>0</v>
      </c>
      <c r="E8" t="n">
        <v>1</v>
      </c>
      <c r="F8" t="n">
        <v>0</v>
      </c>
      <c r="G8" t="n">
        <v>0</v>
      </c>
      <c r="H8" t="inlineStr">
        <is>
          <t>Listed</t>
        </is>
      </c>
      <c r="I8" t="inlineStr">
        <is>
          <t>Bears 1985 pin - already in inventory</t>
        </is>
      </c>
    </row>
    <row r="9">
      <c r="A9" t="inlineStr">
        <is>
          <t>AUCTION-OLD</t>
        </is>
      </c>
      <c r="C9" t="inlineStr">
        <is>
          <t>Older Auction (TBD)</t>
        </is>
      </c>
      <c r="F9" t="n">
        <v>0</v>
      </c>
      <c r="G9" t="n">
        <v>0</v>
      </c>
      <c r="H9" t="inlineStr">
        <is>
          <t>Processing</t>
        </is>
      </c>
      <c r="I9" t="inlineStr">
        <is>
          <t>Four Seasons plaque - need to ID 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5" customWidth="1" min="3" max="3"/>
    <col width="35" customWidth="1" min="4" max="4"/>
    <col width="12" customWidth="1" min="5" max="5"/>
    <col width="12" customWidth="1" min="6" max="6"/>
    <col width="12" customWidth="1" min="7" max="7"/>
    <col width="10" customWidth="1" min="8" max="8"/>
    <col width="12" customWidth="1" min="9" max="9"/>
    <col width="40" customWidth="1" min="10" max="10"/>
  </cols>
  <sheetData>
    <row r="1">
      <c r="A1" s="2" t="inlineStr">
        <is>
          <t>Item ID</t>
        </is>
      </c>
      <c r="B1" s="2" t="inlineStr">
        <is>
          <t>Purchase ID</t>
        </is>
      </c>
      <c r="C1" s="2" t="inlineStr">
        <is>
          <t>Product Name</t>
        </is>
      </c>
      <c r="D1" s="2" t="inlineStr">
        <is>
          <t>Attributes</t>
        </is>
      </c>
      <c r="E1" s="2" t="inlineStr">
        <is>
          <t>Cost Basis</t>
        </is>
      </c>
      <c r="F1" s="2" t="inlineStr">
        <is>
          <t>List Price</t>
        </is>
      </c>
      <c r="G1" s="2" t="inlineStr">
        <is>
          <t>Sold Price</t>
        </is>
      </c>
      <c r="H1" s="2" t="inlineStr">
        <is>
          <t>Status</t>
        </is>
      </c>
      <c r="I1" s="2" t="inlineStr">
        <is>
          <t>Condition</t>
        </is>
      </c>
      <c r="J1" s="2" t="inlineStr">
        <is>
          <t>Notes</t>
        </is>
      </c>
    </row>
    <row r="2">
      <c r="A2" t="inlineStr">
        <is>
          <t>RG-001</t>
        </is>
      </c>
      <c r="B2" t="inlineStr">
        <is>
          <t>FREE-FLEA</t>
        </is>
      </c>
      <c r="C2" t="inlineStr">
        <is>
          <t>Pressed-Back Oak Swivel Bar Stool</t>
        </is>
      </c>
      <c r="D2" t="inlineStr">
        <is>
          <t>Oak • Swivel • 1990s Repro</t>
        </is>
      </c>
      <c r="E2" t="n">
        <v>0</v>
      </c>
      <c r="F2" t="n">
        <v>55</v>
      </c>
      <c r="H2" t="inlineStr">
        <is>
          <t>Listed</t>
        </is>
      </c>
      <c r="I2" t="inlineStr">
        <is>
          <t>Good</t>
        </is>
      </c>
      <c r="J2" t="inlineStr">
        <is>
          <t>Working swivel</t>
        </is>
      </c>
    </row>
    <row r="3">
      <c r="A3" t="inlineStr">
        <is>
          <t>RG-002</t>
        </is>
      </c>
      <c r="B3" t="inlineStr">
        <is>
          <t>AUCTION-OLD</t>
        </is>
      </c>
      <c r="C3" t="inlineStr">
        <is>
          <t>Chase Japan Four Seasons Wall Plaque Set (4pc)</t>
        </is>
      </c>
      <c r="D3" t="inlineStr">
        <is>
          <t>MCM Ceramic • Hand Painted • 1950s</t>
        </is>
      </c>
      <c r="F3" t="n">
        <v>69.98999999999999</v>
      </c>
      <c r="H3" t="inlineStr">
        <is>
          <t>Listed</t>
        </is>
      </c>
      <c r="I3" t="inlineStr">
        <is>
          <t>Like New</t>
        </is>
      </c>
      <c r="J3" t="inlineStr">
        <is>
          <t>No chips/cracks</t>
        </is>
      </c>
    </row>
    <row r="4">
      <c r="A4" t="inlineStr">
        <is>
          <t>RG-003</t>
        </is>
      </c>
      <c r="B4" t="inlineStr">
        <is>
          <t>FOUND-STORE</t>
        </is>
      </c>
      <c r="C4" t="inlineStr">
        <is>
          <t>Chicago Bears 1985 World Champions Button on Card</t>
        </is>
      </c>
      <c r="D4" t="inlineStr">
        <is>
          <t>NFL Licensed • Wincraft • 6" Pin</t>
        </is>
      </c>
      <c r="E4" t="n">
        <v>0</v>
      </c>
      <c r="F4" t="n">
        <v>12.99</v>
      </c>
      <c r="H4" t="inlineStr">
        <is>
          <t>Listed</t>
        </is>
      </c>
      <c r="I4" t="inlineStr">
        <is>
          <t>Good</t>
        </is>
      </c>
      <c r="J4" t="inlineStr">
        <is>
          <t>Card creased, button clean, slight fade</t>
        </is>
      </c>
    </row>
    <row r="5">
      <c r="A5" t="inlineStr">
        <is>
          <t>RG-004</t>
        </is>
      </c>
      <c r="B5" t="inlineStr">
        <is>
          <t>IOWA-0925</t>
        </is>
      </c>
      <c r="C5" t="inlineStr">
        <is>
          <t>Kings of the Forest &amp; Kindred Tribes - W.A. Foster</t>
        </is>
      </c>
      <c r="D5" t="inlineStr">
        <is>
          <t>Antique Book • 1892 • 235 Engravings</t>
        </is>
      </c>
      <c r="F5" t="n">
        <v>55</v>
      </c>
      <c r="H5" t="inlineStr">
        <is>
          <t>Listed</t>
        </is>
      </c>
      <c r="I5" t="inlineStr">
        <is>
          <t>Fair</t>
        </is>
      </c>
      <c r="J5" t="inlineStr">
        <is>
          <t>Cover worn, spine frayed, incl. USB digital copy</t>
        </is>
      </c>
    </row>
    <row r="6">
      <c r="A6" t="inlineStr">
        <is>
          <t>RG-005</t>
        </is>
      </c>
      <c r="B6" t="inlineStr">
        <is>
          <t>PETER-002</t>
        </is>
      </c>
      <c r="C6" t="inlineStr">
        <is>
          <t>Walt Disney's Comics and Stories Cover - May 1944 (Framed)</t>
        </is>
      </c>
      <c r="D6" t="inlineStr">
        <is>
          <t>WWII Era • Walt Kelly Art • Donald Duck</t>
        </is>
      </c>
      <c r="F6" t="n">
        <v>49.99</v>
      </c>
      <c r="H6" t="inlineStr">
        <is>
          <t>Listed</t>
        </is>
      </c>
      <c r="I6" t="inlineStr">
        <is>
          <t>Good</t>
        </is>
      </c>
      <c r="J6" t="inlineStr">
        <is>
          <t>Cover only, professionally framed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Richmond General - Inventory Summary</t>
        </is>
      </c>
    </row>
    <row r="3">
      <c r="A3" t="inlineStr">
        <is>
          <t>Total Invested:</t>
        </is>
      </c>
      <c r="B3">
        <f>SUMIF(Purchases!H:H,"&lt;&gt;Unprocessed",Purchases!D:D)</f>
        <v/>
      </c>
    </row>
    <row r="4">
      <c r="A4" t="inlineStr">
        <is>
          <t>Total Listed Value:</t>
        </is>
      </c>
      <c r="B4">
        <f>SUM(Inventory!F:F)</f>
        <v/>
      </c>
    </row>
    <row r="5">
      <c r="A5" t="inlineStr">
        <is>
          <t>Total Sold:</t>
        </is>
      </c>
      <c r="B5">
        <f>SUM(Inventory!G:G)</f>
        <v/>
      </c>
    </row>
    <row r="6">
      <c r="A6" t="inlineStr">
        <is>
          <t>Items Listed:</t>
        </is>
      </c>
      <c r="B6">
        <f>COUNTIF(Inventory!H:H,"Listed")</f>
        <v/>
      </c>
    </row>
    <row r="7">
      <c r="A7" t="inlineStr">
        <is>
          <t>Items Sold:</t>
        </is>
      </c>
      <c r="B7">
        <f>COUNTIF(Inventory!H:H,"Sold")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2025-11-26T17:48:30Z</dcterms:created>
  <dcterms:modified xmlns:dcterms="http://purl.org/dc/terms/" xmlns:xsi="http://www.w3.org/2001/XMLSchema-instance" xsi:type="dcterms:W3CDTF">2025-11-26T17:48:30Z</dcterms:modified>
</cp:coreProperties>
</file>
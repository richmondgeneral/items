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/>
  <mc:AlternateContent xmlns:mc="http://schemas.openxmlformats.org/markup-compatibility/2006">
    <mc:Choice Requires="x15">
      <x15ac:absPath xmlns:x15ac="http://schemas.microsoft.com/office/spreadsheetml/2010/11/ac" url="/Users/scottybe/items/"/>
    </mc:Choice>
  </mc:AlternateContent>
  <xr:revisionPtr revIDLastSave="0" documentId="8_{920DE119-6EC4-8D47-8493-C96435997C3D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Purchases" sheetId="1" r:id="rId1"/>
    <sheet name="Invento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7" i="3"/>
  <c r="B6" i="3"/>
  <c r="B5" i="3"/>
  <c r="B4" i="3"/>
  <c r="B3" i="3"/>
</calcChain>
</file>

<file path=xl/sharedStrings.xml><?xml version="1.0" encoding="utf-8"?>
<sst xmlns="http://schemas.openxmlformats.org/spreadsheetml/2006/main" count="97" uniqueCount="78">
  <si>
    <t>Purchase ID</t>
  </si>
  <si>
    <t>Date</t>
  </si>
  <si>
    <t>Source</t>
  </si>
  <si>
    <t>Total Cost</t>
  </si>
  <si>
    <t>Item Count</t>
  </si>
  <si>
    <t>Items Listed</t>
  </si>
  <si>
    <t>Items Sold</t>
  </si>
  <si>
    <t>Revenue</t>
  </si>
  <si>
    <t>Status</t>
  </si>
  <si>
    <t>Notes</t>
  </si>
  <si>
    <t>IOWA-0925</t>
  </si>
  <si>
    <t>2025-09-17</t>
  </si>
  <si>
    <t>Charles City Auction (Iowa)</t>
  </si>
  <si>
    <t>Processing</t>
  </si>
  <si>
    <t>Carnival glass, books, china, toys, coins</t>
  </si>
  <si>
    <t>PETER-001</t>
  </si>
  <si>
    <t>2025-11-05</t>
  </si>
  <si>
    <t>Peter</t>
  </si>
  <si>
    <t>Unprocessed</t>
  </si>
  <si>
    <t>Visit 1</t>
  </si>
  <si>
    <t>PETER-002</t>
  </si>
  <si>
    <t>2025-11-19</t>
  </si>
  <si>
    <t>Visit 2 - Annie book, Disney frame identified</t>
  </si>
  <si>
    <t>PETER-003</t>
  </si>
  <si>
    <t>2025-11-25</t>
  </si>
  <si>
    <t>Visit 3</t>
  </si>
  <si>
    <t>FREE-JERRY</t>
  </si>
  <si>
    <t>2025-11-01</t>
  </si>
  <si>
    <t>Jerry @ Flea Market</t>
  </si>
  <si>
    <t>Listed</t>
  </si>
  <si>
    <t>Bar stool - free pickup</t>
  </si>
  <si>
    <t>FOUND-STORE</t>
  </si>
  <si>
    <t>Found at store</t>
  </si>
  <si>
    <t>Bears 1985 pin</t>
  </si>
  <si>
    <t>SKU</t>
  </si>
  <si>
    <t>Product Name</t>
  </si>
  <si>
    <t>Attributes</t>
  </si>
  <si>
    <t>Cost Basis</t>
  </si>
  <si>
    <t>List Price</t>
  </si>
  <si>
    <t>Sold Price</t>
  </si>
  <si>
    <t>Condition</t>
  </si>
  <si>
    <t>Payment Link</t>
  </si>
  <si>
    <t>RG-0001</t>
  </si>
  <si>
    <t>Little Orphan Annie Comic Strip Book</t>
  </si>
  <si>
    <t>Vintage Book • Harold Gray • 1930s</t>
  </si>
  <si>
    <t>VG</t>
  </si>
  <si>
    <t>Dover 1979 reprint of 1931 strips</t>
  </si>
  <si>
    <t>https://square.link/u/jiKzFChc</t>
  </si>
  <si>
    <t>RG-0002</t>
  </si>
  <si>
    <t>Kings of the Forest - W.A. Foster</t>
  </si>
  <si>
    <t>Antique Book • 1892 • 235 Engravings</t>
  </si>
  <si>
    <t>Fair</t>
  </si>
  <si>
    <t>Cover worn, incl digital copy</t>
  </si>
  <si>
    <t>https://square.link/u/aug0H4mL</t>
  </si>
  <si>
    <t>RG-0003</t>
  </si>
  <si>
    <t>Pressed-Back Oak Swivel Bar Stool</t>
  </si>
  <si>
    <t>Early 1900s • American Oak • Victorian</t>
  </si>
  <si>
    <t>Good</t>
  </si>
  <si>
    <t>Some wear to seat</t>
  </si>
  <si>
    <t>https://square.link/u/u3fWQWnE</t>
  </si>
  <si>
    <t>RG-0004</t>
  </si>
  <si>
    <t>Chase Japan Four Seasons Plaques (4pc)</t>
  </si>
  <si>
    <t>MCM Ceramic • Hand Painted • 1950s</t>
  </si>
  <si>
    <t>Like New</t>
  </si>
  <si>
    <t>Pegasus mark, no chips</t>
  </si>
  <si>
    <t>https://square.link/u/b4YTpdoG</t>
  </si>
  <si>
    <t>RG-0005</t>
  </si>
  <si>
    <t>Chicago Bears 1985 Button</t>
  </si>
  <si>
    <t>Sports Memorabilia • NFL • Super Bowl XX</t>
  </si>
  <si>
    <t>Button excellent, card has edge wear</t>
  </si>
  <si>
    <t>https://square.link/u/CVHUjfRY</t>
  </si>
  <si>
    <t>Richmond General - Inventory Summary</t>
  </si>
  <si>
    <t>Total Invested:</t>
  </si>
  <si>
    <t>Total Listed Value:</t>
  </si>
  <si>
    <t>Total Sold:</t>
  </si>
  <si>
    <t>Items Listed:</t>
  </si>
  <si>
    <t>Items Sold:</t>
  </si>
  <si>
    <t>Purchases: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</si>
</sst>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28" customWidth="1"/>
    <col min="4" max="4" width="12" customWidth="1"/>
    <col min="10" max="10" width="5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771.09</v>
      </c>
      <c r="E2">
        <v>94</v>
      </c>
      <c r="F2">
        <v>2</v>
      </c>
      <c r="G2">
        <v>0</v>
      </c>
      <c r="H2">
        <v>0</v>
      </c>
      <c r="I2" t="s">
        <v>13</v>
      </c>
      <c r="J2" t="s">
        <v>14</v>
      </c>
    </row>
    <row r="3" spans="1:10" x14ac:dyDescent="0.2">
      <c r="A3" t="s">
        <v>15</v>
      </c>
      <c r="B3" t="s">
        <v>16</v>
      </c>
      <c r="C3" t="s">
        <v>17</v>
      </c>
      <c r="D3">
        <v>100</v>
      </c>
      <c r="F3">
        <v>0</v>
      </c>
      <c r="G3">
        <v>0</v>
      </c>
      <c r="H3">
        <v>0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17</v>
      </c>
      <c r="D4">
        <v>200</v>
      </c>
      <c r="F4">
        <v>1</v>
      </c>
      <c r="G4">
        <v>0</v>
      </c>
      <c r="H4">
        <v>0</v>
      </c>
      <c r="I4" t="s">
        <v>13</v>
      </c>
      <c r="J4" t="s">
        <v>22</v>
      </c>
    </row>
    <row r="5" spans="1:10" x14ac:dyDescent="0.2">
      <c r="A5" t="s">
        <v>23</v>
      </c>
      <c r="B5" t="s">
        <v>24</v>
      </c>
      <c r="C5" t="s">
        <v>17</v>
      </c>
      <c r="D5">
        <v>125</v>
      </c>
      <c r="F5">
        <v>0</v>
      </c>
      <c r="G5">
        <v>0</v>
      </c>
      <c r="H5">
        <v>0</v>
      </c>
      <c r="I5" t="s">
        <v>18</v>
      </c>
      <c r="J5" t="s">
        <v>25</v>
      </c>
    </row>
    <row r="6" spans="1:10" x14ac:dyDescent="0.2">
      <c r="A6" t="s">
        <v>26</v>
      </c>
      <c r="B6" t="s">
        <v>27</v>
      </c>
      <c r="C6" t="s">
        <v>28</v>
      </c>
      <c r="D6">
        <v>0</v>
      </c>
      <c r="E6">
        <v>1</v>
      </c>
      <c r="F6">
        <v>1</v>
      </c>
      <c r="G6">
        <v>0</v>
      </c>
      <c r="H6">
        <v>0</v>
      </c>
      <c r="I6" t="s">
        <v>29</v>
      </c>
      <c r="J6" t="s">
        <v>30</v>
      </c>
    </row>
    <row r="7" spans="1:10" x14ac:dyDescent="0.2">
      <c r="A7" t="s">
        <v>31</v>
      </c>
      <c r="C7" t="s">
        <v>32</v>
      </c>
      <c r="D7">
        <v>0</v>
      </c>
      <c r="E7">
        <v>1</v>
      </c>
      <c r="F7">
        <v>1</v>
      </c>
      <c r="G7">
        <v>0</v>
      </c>
      <c r="H7">
        <v>0</v>
      </c>
      <c r="I7" t="s">
        <v>29</v>
      </c>
      <c r="J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baseColWidth="10" defaultColWidth="8.83203125" defaultRowHeight="15" x14ac:dyDescent="0.2"/>
  <cols>
    <col min="1" max="1" width="10" customWidth="1"/>
    <col min="2" max="2" width="14" customWidth="1"/>
    <col min="3" max="3" width="42" customWidth="1"/>
    <col min="4" max="4" width="38" customWidth="1"/>
    <col min="10" max="10" width="35" customWidth="1"/>
    <col min="11" max="11" width="32" customWidth="1"/>
  </cols>
  <sheetData>
    <row r="1" spans="1:11" x14ac:dyDescent="0.2">
      <c r="A1" s="1" t="s">
        <v>34</v>
      </c>
      <c r="B1" s="1" t="s">
        <v>0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8</v>
      </c>
      <c r="I1" s="1" t="s">
        <v>40</v>
      </c>
      <c r="J1" s="1" t="s">
        <v>9</v>
      </c>
      <c r="K1" s="1" t="s">
        <v>41</v>
      </c>
    </row>
    <row r="2" spans="1:11" x14ac:dyDescent="0.2">
      <c r="A2" t="s">
        <v>42</v>
      </c>
      <c r="B2" t="s">
        <v>20</v>
      </c>
      <c r="C2" t="s">
        <v>43</v>
      </c>
      <c r="D2" t="s">
        <v>44</v>
      </c>
      <c r="F2">
        <v>19.989999999999998</v>
      </c>
      <c r="H2" t="s">
        <v>29</v>
      </c>
      <c r="I2" t="s">
        <v>45</v>
      </c>
      <c r="J2" t="s">
        <v>46</v>
      </c>
      <c r="K2" t="s">
        <v>47</v>
      </c>
    </row>
    <row r="3" spans="1:11" x14ac:dyDescent="0.2">
      <c r="A3" t="s">
        <v>48</v>
      </c>
      <c r="B3" t="s">
        <v>10</v>
      </c>
      <c r="C3" t="s">
        <v>49</v>
      </c>
      <c r="D3" t="s">
        <v>50</v>
      </c>
      <c r="F3">
        <v>34.99</v>
      </c>
      <c r="H3" t="s">
        <v>29</v>
      </c>
      <c r="I3" t="s">
        <v>51</v>
      </c>
      <c r="J3" t="s">
        <v>52</v>
      </c>
      <c r="K3" t="s">
        <v>53</v>
      </c>
    </row>
    <row r="4" spans="1:11" x14ac:dyDescent="0.2">
      <c r="A4" t="s">
        <v>54</v>
      </c>
      <c r="B4" t="s">
        <v>26</v>
      </c>
      <c r="C4" t="s">
        <v>55</v>
      </c>
      <c r="D4" t="s">
        <v>56</v>
      </c>
      <c r="E4">
        <v>0</v>
      </c>
      <c r="F4">
        <v>55</v>
      </c>
      <c r="H4" t="s">
        <v>29</v>
      </c>
      <c r="I4" t="s">
        <v>57</v>
      </c>
      <c r="J4" t="s">
        <v>58</v>
      </c>
      <c r="K4" t="s">
        <v>59</v>
      </c>
    </row>
    <row r="5" spans="1:11" x14ac:dyDescent="0.2">
      <c r="A5" t="s">
        <v>60</v>
      </c>
      <c r="B5" t="s">
        <v>10</v>
      </c>
      <c r="C5" t="s">
        <v>61</v>
      </c>
      <c r="D5" t="s">
        <v>62</v>
      </c>
      <c r="F5">
        <v>69.989999999999995</v>
      </c>
      <c r="H5" t="s">
        <v>29</v>
      </c>
      <c r="I5" t="s">
        <v>63</v>
      </c>
      <c r="J5" t="s">
        <v>64</v>
      </c>
      <c r="K5" t="s">
        <v>65</v>
      </c>
    </row>
    <row r="6" spans="1:11" x14ac:dyDescent="0.2">
      <c r="A6" t="s">
        <v>66</v>
      </c>
      <c r="B6" t="s">
        <v>31</v>
      </c>
      <c r="C6" t="s">
        <v>67</v>
      </c>
      <c r="D6" t="s">
        <v>68</v>
      </c>
      <c r="E6">
        <v>0</v>
      </c>
      <c r="F6">
        <v>12.99</v>
      </c>
      <c r="H6" t="s">
        <v>29</v>
      </c>
      <c r="I6" t="s">
        <v>57</v>
      </c>
      <c r="J6" t="s">
        <v>69</v>
      </c>
      <c r="K6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cols>
    <col min="1" max="1" width="20" customWidth="1"/>
    <col min="2" max="2" width="15" customWidth="1"/>
  </cols>
  <sheetData>
    <row r="1" spans="1:2" ht="19" x14ac:dyDescent="0.25">
      <c r="A1" s="2" t="s">
        <v>71</v>
      </c>
    </row>
    <row r="3" spans="1:2" x14ac:dyDescent="0.2">
      <c r="A3" t="s">
        <v>72</v>
      </c>
      <c r="B3">
        <f>SUM(Purchases!D:D)</f>
        <v>1196.0900000000001</v>
      </c>
    </row>
    <row r="4" spans="1:2" x14ac:dyDescent="0.2">
      <c r="A4" t="s">
        <v>73</v>
      </c>
      <c r="B4">
        <f>SUM(Inventory!F:F)</f>
        <v>192.96</v>
      </c>
    </row>
    <row r="5" spans="1:2" x14ac:dyDescent="0.2">
      <c r="A5" t="s">
        <v>74</v>
      </c>
      <c r="B5">
        <f>SUM(Inventory!G:G)</f>
        <v>0</v>
      </c>
    </row>
    <row r="6" spans="1:2" x14ac:dyDescent="0.2">
      <c r="A6" t="s">
        <v>75</v>
      </c>
      <c r="B6">
        <f>COUNTIF(Inventory!H:H,"Listed")</f>
        <v>5</v>
      </c>
    </row>
    <row r="7" spans="1:2" x14ac:dyDescent="0.2">
      <c r="A7" t="s">
        <v>76</v>
      </c>
      <c r="B7">
        <f>COUNTIF(Inventory!H:H,"Sold")</f>
        <v>0</v>
      </c>
    </row>
    <row r="9" spans="1:2" x14ac:dyDescent="0.2">
      <c r="A9" t="s">
        <v>77</v>
      </c>
      <c r="B9">
        <f>COUNTA(Purchases!A:A)-1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Purchases</vt:lpstr>
      <vt:lpstr>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Beilfuss</cp:lastModifiedBy>
  <dcterms:created xsi:type="dcterms:W3CDTF">2025-11-27T04:36:25Z</dcterms:created>
  <dcterms:modified xsi:type="dcterms:W3CDTF">2025-11-27T04:39:02Z</dcterms:modified>
</cp:coreProperties>
</file>